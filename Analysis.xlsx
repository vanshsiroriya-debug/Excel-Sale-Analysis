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hidePivotFieldList="1" defaultThemeVersion="166925"/>
  <xr:revisionPtr revIDLastSave="0" documentId="8_{B242A7B7-2F17-484F-844D-C64FEC5E7F86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Analysis" sheetId="4" r:id="rId1"/>
    <sheet name="Sales_Data" sheetId="1" r:id="rId2"/>
    <sheet name="Chart" sheetId="3" r:id="rId3"/>
  </sheets>
  <calcPr calcId="191028"/>
  <pivotCaches>
    <pivotCache cacheId="66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I22" i="1" l="1"/>
  <c r="C25" i="1"/>
</calcChain>
</file>

<file path=xl/sharedStrings.xml><?xml version="1.0" encoding="utf-8"?>
<sst xmlns="http://schemas.openxmlformats.org/spreadsheetml/2006/main" count="99" uniqueCount="44">
  <si>
    <t>Product</t>
  </si>
  <si>
    <t>Sum of Total_sales</t>
  </si>
  <si>
    <t>Laptop</t>
  </si>
  <si>
    <t>Phone</t>
  </si>
  <si>
    <t>Tablet</t>
  </si>
  <si>
    <t>Shoes</t>
  </si>
  <si>
    <t>T-Shirt</t>
  </si>
  <si>
    <t>Grand Total</t>
  </si>
  <si>
    <t>Order_ID</t>
  </si>
  <si>
    <t>Date</t>
  </si>
  <si>
    <t>Customer</t>
  </si>
  <si>
    <t>City</t>
  </si>
  <si>
    <t>Category</t>
  </si>
  <si>
    <t>Quantity</t>
  </si>
  <si>
    <t>Price</t>
  </si>
  <si>
    <t>Total_sales</t>
  </si>
  <si>
    <t>Rahul</t>
  </si>
  <si>
    <t>Delhi</t>
  </si>
  <si>
    <t>Electronics</t>
  </si>
  <si>
    <t>Aman</t>
  </si>
  <si>
    <t>Mumbai</t>
  </si>
  <si>
    <t>Neha</t>
  </si>
  <si>
    <t>Fashion</t>
  </si>
  <si>
    <t>Priya</t>
  </si>
  <si>
    <t>Jaipur</t>
  </si>
  <si>
    <t>Rohit</t>
  </si>
  <si>
    <t>Simran</t>
  </si>
  <si>
    <t>Punjab</t>
  </si>
  <si>
    <t>Amit</t>
  </si>
  <si>
    <t>Sneha</t>
  </si>
  <si>
    <t>Ravi</t>
  </si>
  <si>
    <t>Pooja</t>
  </si>
  <si>
    <t>Karan</t>
  </si>
  <si>
    <t>Anita</t>
  </si>
  <si>
    <t>Sunil</t>
  </si>
  <si>
    <t>Meena</t>
  </si>
  <si>
    <t>Arjun</t>
  </si>
  <si>
    <t>Kavita</t>
  </si>
  <si>
    <t>Deepak</t>
  </si>
  <si>
    <t>Rekha</t>
  </si>
  <si>
    <t>Vikas</t>
  </si>
  <si>
    <t>Nisha</t>
  </si>
  <si>
    <t>Total_order</t>
  </si>
  <si>
    <t>Average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</si>
</sst>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_ ;_ [$₹-439]* \-#,##0_ ;_ [$₹-439]* &quot;-&quot;??_ ;_ @_ 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/>
    <xf numFmtId="0" fontId="0" fillId="0" borderId="2" xfId="0" applyBorder="1"/>
    <xf numFmtId="0" fontId="0" fillId="0" borderId="3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/>
    <xf numFmtId="164" fontId="0" fillId="0" borderId="3" xfId="0" applyNumberFormat="1" applyBorder="1"/>
    <xf numFmtId="164" fontId="1" fillId="0" borderId="1" xfId="0" applyNumberFormat="1" applyFont="1" applyBorder="1" applyAlignment="1"/>
    <xf numFmtId="164" fontId="1" fillId="0" borderId="1" xfId="0" applyNumberFormat="1" applyFont="1" applyBorder="1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0D8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- Wise - Sale Analysis</a:t>
            </a:r>
          </a:p>
        </c:rich>
      </c:tx>
      <c:layout>
        <c:manualLayout>
          <c:xMode val="edge"/>
          <c:yMode val="edge"/>
          <c:x val="0.28719433854877868"/>
          <c:y val="3.1250035321270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0E4-4C89-BB21-230D95B593D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0E4-4C89-BB21-230D95B593D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0E4-4C89-BB21-230D95B593D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0E4-4C89-BB21-230D95B593D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0E4-4C89-BB21-230D95B593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Analysis!$A$2:$A$7</c:f>
              <c:strCache>
                <c:ptCount val="5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Shoes</c:v>
                </c:pt>
                <c:pt idx="4">
                  <c:v>T-Shirt</c:v>
                </c:pt>
              </c:strCache>
            </c:strRef>
          </c:cat>
          <c:val>
            <c:numRef>
              <c:f>Analysis!$B$2:$B$7</c:f>
              <c:numCache>
                <c:formatCode>_ [$₹-439]* #,##0_ ;_ [$₹-439]* \-#,##0_ ;_ [$₹-439]* "-"??_ ;_ @_ </c:formatCode>
                <c:ptCount val="5"/>
                <c:pt idx="0">
                  <c:v>205000</c:v>
                </c:pt>
                <c:pt idx="1">
                  <c:v>150000</c:v>
                </c:pt>
                <c:pt idx="2">
                  <c:v>89000</c:v>
                </c:pt>
                <c:pt idx="3">
                  <c:v>78500</c:v>
                </c:pt>
                <c:pt idx="4">
                  <c:v>67750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8-480E-BF6A-867CB9CC04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6595720"/>
        <c:axId val="1478346760"/>
      </c:barChart>
      <c:catAx>
        <c:axId val="14765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346760"/>
        <c:crosses val="autoZero"/>
        <c:auto val="1"/>
        <c:lblAlgn val="ctr"/>
        <c:lblOffset val="100"/>
        <c:noMultiLvlLbl val="0"/>
      </c:catAx>
      <c:valAx>
        <c:axId val="147834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39]* #,##0_ ;_ [$₹-439]* \-#,##0_ ;_ [$₹-439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5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0CEC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4</xdr:row>
      <xdr:rowOff>133350</xdr:rowOff>
    </xdr:from>
    <xdr:to>
      <xdr:col>12</xdr:col>
      <xdr:colOff>400050</xdr:colOff>
      <xdr:row>19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4A2BA9-8BA2-42AE-AD44-E41D389AD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4.899343171295" createdVersion="8" refreshedVersion="8" minRefreshableVersion="3" recordCount="20" xr:uid="{D6030064-79B3-47AC-A688-92189784BA59}">
  <cacheSource type="worksheet">
    <worksheetSource ref="A1:I21" sheet="Sales_Data"/>
  </cacheSource>
  <cacheFields count="9">
    <cacheField name="Order_ID" numFmtId="0">
      <sharedItems containsSemiMixedTypes="0" containsString="0" containsNumber="1" containsInteger="1" minValue="101" maxValue="120"/>
    </cacheField>
    <cacheField name="Date" numFmtId="14">
      <sharedItems containsSemiMixedTypes="0" containsNonDate="0" containsDate="1" containsString="0" minDate="2026-03-01T00:00:00" maxDate="2026-03-21T00:00:00"/>
    </cacheField>
    <cacheField name="Customer" numFmtId="0">
      <sharedItems/>
    </cacheField>
    <cacheField name="City" numFmtId="0">
      <sharedItems/>
    </cacheField>
    <cacheField name="Product" numFmtId="0">
      <sharedItems count="6">
        <s v="Laptop"/>
        <s v="Phone"/>
        <s v="Shoes"/>
        <s v="T-Shirt"/>
        <s v="Tablet"/>
        <s v="T-shirt " u="1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600" maxValue="55000"/>
    </cacheField>
    <cacheField name="Total_sales" numFmtId="164">
      <sharedItems containsSemiMixedTypes="0" containsString="0" containsNumber="1" containsInteger="1" minValue="21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1"/>
    <d v="2026-03-01T00:00:00"/>
    <s v="Rahul"/>
    <s v="Delhi"/>
    <x v="0"/>
    <s v="Electronics"/>
    <n v="1"/>
    <n v="50000"/>
    <n v="50000"/>
  </r>
  <r>
    <n v="102"/>
    <d v="2026-03-02T00:00:00"/>
    <s v="Aman"/>
    <s v="Mumbai"/>
    <x v="1"/>
    <s v="Electronics"/>
    <n v="2"/>
    <n v="20000"/>
    <n v="40000"/>
  </r>
  <r>
    <n v="103"/>
    <d v="2026-03-03T00:00:00"/>
    <s v="Neha"/>
    <s v="Delhi"/>
    <x v="2"/>
    <s v="Fashion"/>
    <n v="3"/>
    <n v="20000"/>
    <n v="60000"/>
  </r>
  <r>
    <n v="104"/>
    <d v="2026-03-04T00:00:00"/>
    <s v="Priya"/>
    <s v="Jaipur"/>
    <x v="3"/>
    <s v="Fashion"/>
    <n v="3"/>
    <n v="20000"/>
    <n v="60000"/>
  </r>
  <r>
    <n v="105"/>
    <d v="2026-03-05T00:00:00"/>
    <s v="Rohit"/>
    <s v="Delhi"/>
    <x v="4"/>
    <s v="Electronics"/>
    <n v="1"/>
    <n v="30000"/>
    <n v="30000"/>
  </r>
  <r>
    <n v="106"/>
    <d v="2026-03-06T00:00:00"/>
    <s v="Simran"/>
    <s v="Punjab"/>
    <x v="2"/>
    <s v="Fashion"/>
    <n v="2"/>
    <n v="2500"/>
    <n v="5000"/>
  </r>
  <r>
    <n v="107"/>
    <d v="2026-03-07T00:00:00"/>
    <s v="Amit"/>
    <s v="Delhi"/>
    <x v="1"/>
    <s v="Electronics"/>
    <n v="1"/>
    <n v="22000"/>
    <n v="22000"/>
  </r>
  <r>
    <n v="108"/>
    <d v="2026-03-08T00:00:00"/>
    <s v="Sneha"/>
    <s v="Mumbai"/>
    <x v="0"/>
    <s v="Electronics"/>
    <n v="1"/>
    <n v="55000"/>
    <n v="55000"/>
  </r>
  <r>
    <n v="109"/>
    <d v="2026-03-09T00:00:00"/>
    <s v="Ravi"/>
    <s v="Jaipur"/>
    <x v="3"/>
    <s v="Fashion"/>
    <n v="4"/>
    <n v="600"/>
    <n v="2400"/>
  </r>
  <r>
    <n v="110"/>
    <d v="2026-03-10T00:00:00"/>
    <s v="Pooja"/>
    <s v="Delhi"/>
    <x v="2"/>
    <s v="Fashion"/>
    <n v="2"/>
    <n v="1800"/>
    <n v="3600"/>
  </r>
  <r>
    <n v="111"/>
    <d v="2026-03-11T00:00:00"/>
    <s v="Karan"/>
    <s v="Mumbai"/>
    <x v="4"/>
    <s v="Electronics"/>
    <n v="1"/>
    <n v="28000"/>
    <n v="28000"/>
  </r>
  <r>
    <n v="112"/>
    <d v="2026-03-12T00:00:00"/>
    <s v="Anita"/>
    <s v="Punjab"/>
    <x v="3"/>
    <s v="Fashion"/>
    <n v="3"/>
    <n v="700"/>
    <n v="2100"/>
  </r>
  <r>
    <n v="113"/>
    <d v="2026-03-13T00:00:00"/>
    <s v="Sunil"/>
    <s v="Delhi"/>
    <x v="0"/>
    <s v="Electronics"/>
    <n v="1"/>
    <n v="52000"/>
    <n v="52000"/>
  </r>
  <r>
    <n v="114"/>
    <d v="2026-03-14T00:00:00"/>
    <s v="Meena"/>
    <s v="Jaipur"/>
    <x v="2"/>
    <s v="Fashion"/>
    <n v="2"/>
    <n v="2100"/>
    <n v="4200"/>
  </r>
  <r>
    <n v="115"/>
    <d v="2026-03-15T00:00:00"/>
    <s v="Arjun"/>
    <s v="Mumbai"/>
    <x v="1"/>
    <s v="Electronics"/>
    <n v="2"/>
    <n v="21000"/>
    <n v="42000"/>
  </r>
  <r>
    <n v="116"/>
    <d v="2026-03-16T00:00:00"/>
    <s v="Kavita"/>
    <s v="Punjab"/>
    <x v="3"/>
    <s v="Fashion"/>
    <n v="5"/>
    <n v="650"/>
    <n v="3250"/>
  </r>
  <r>
    <n v="117"/>
    <d v="2026-03-17T00:00:00"/>
    <s v="Deepak"/>
    <s v="Delhi"/>
    <x v="4"/>
    <s v="Electronics"/>
    <n v="1"/>
    <n v="31000"/>
    <n v="31000"/>
  </r>
  <r>
    <n v="118"/>
    <d v="2026-03-18T00:00:00"/>
    <s v="Rekha"/>
    <s v="Mumbai"/>
    <x v="2"/>
    <s v="Fashion"/>
    <n v="3"/>
    <n v="1900"/>
    <n v="5700"/>
  </r>
  <r>
    <n v="119"/>
    <d v="2026-03-19T00:00:00"/>
    <s v="Vikas"/>
    <s v="Jaipur"/>
    <x v="0"/>
    <s v="Electronics"/>
    <n v="1"/>
    <n v="48000"/>
    <n v="48000"/>
  </r>
  <r>
    <n v="120"/>
    <d v="2026-03-20T00:00:00"/>
    <s v="Nisha"/>
    <s v="Delhi"/>
    <x v="1"/>
    <s v="Electronics"/>
    <n v="2"/>
    <n v="23000"/>
    <n v="4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68615-4AB1-49D5-B29B-C5D5B52ABD9F}" name="PivotTable2" cacheId="66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7" firstHeaderRow="1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 sortType="descending">
      <items count="7">
        <item x="0"/>
        <item x="1"/>
        <item x="2"/>
        <item x="4"/>
        <item x="3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164" outline="0" showAll="0"/>
  </pivotFields>
  <rowFields count="1">
    <field x="4"/>
  </rowFields>
  <rowItems count="6">
    <i>
      <x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Sum of Total_sales" fld="8" baseField="0" baseItem="0" numFmtId="164"/>
  </dataFields>
  <chartFormats count="1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0A6F-0B4D-4CE1-AAC7-D5E34931BDEA}">
  <dimension ref="A1:B7"/>
  <sheetViews>
    <sheetView workbookViewId="0">
      <selection activeCell="D14" sqref="D14"/>
    </sheetView>
  </sheetViews>
  <sheetFormatPr defaultRowHeight="15"/>
  <cols>
    <col min="1" max="1" width="11.42578125" bestFit="1" customWidth="1"/>
    <col min="2" max="2" width="17.5703125" bestFit="1" customWidth="1"/>
  </cols>
  <sheetData>
    <row r="1" spans="1:2">
      <c r="A1" s="12" t="s">
        <v>0</v>
      </c>
      <c r="B1" t="s">
        <v>1</v>
      </c>
    </row>
    <row r="2" spans="1:2">
      <c r="A2" t="s">
        <v>2</v>
      </c>
      <c r="B2" s="13">
        <v>205000</v>
      </c>
    </row>
    <row r="3" spans="1:2">
      <c r="A3" t="s">
        <v>3</v>
      </c>
      <c r="B3" s="13">
        <v>150000</v>
      </c>
    </row>
    <row r="4" spans="1:2">
      <c r="A4" t="s">
        <v>4</v>
      </c>
      <c r="B4" s="13">
        <v>89000</v>
      </c>
    </row>
    <row r="5" spans="1:2">
      <c r="A5" t="s">
        <v>5</v>
      </c>
      <c r="B5" s="13">
        <v>78500</v>
      </c>
    </row>
    <row r="6" spans="1:2">
      <c r="A6" t="s">
        <v>6</v>
      </c>
      <c r="B6" s="13">
        <v>67750</v>
      </c>
    </row>
    <row r="7" spans="1:2">
      <c r="A7" t="s">
        <v>7</v>
      </c>
      <c r="B7" s="13">
        <v>590250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E7" sqref="E7"/>
    </sheetView>
  </sheetViews>
  <sheetFormatPr defaultRowHeight="15"/>
  <cols>
    <col min="2" max="2" width="12" bestFit="1" customWidth="1"/>
    <col min="3" max="3" width="9.28515625" bestFit="1" customWidth="1"/>
    <col min="5" max="5" width="11.140625" customWidth="1"/>
    <col min="6" max="6" width="10.28515625" bestFit="1" customWidth="1"/>
    <col min="7" max="7" width="8.7109375" bestFit="1" customWidth="1"/>
    <col min="9" max="9" width="12.7109375" bestFit="1" customWidth="1"/>
    <col min="11" max="11" width="13.7109375" bestFit="1" customWidth="1"/>
  </cols>
  <sheetData>
    <row r="1" spans="1:9">
      <c r="A1" s="7" t="s">
        <v>8</v>
      </c>
      <c r="B1" s="7" t="s">
        <v>9</v>
      </c>
      <c r="C1" s="7" t="s">
        <v>10</v>
      </c>
      <c r="D1" s="7" t="s">
        <v>11</v>
      </c>
      <c r="E1" s="7" t="s">
        <v>0</v>
      </c>
      <c r="F1" s="7" t="s">
        <v>12</v>
      </c>
      <c r="G1" s="7" t="s">
        <v>13</v>
      </c>
      <c r="H1" s="7" t="s">
        <v>14</v>
      </c>
      <c r="I1" s="7" t="s">
        <v>15</v>
      </c>
    </row>
    <row r="2" spans="1:9">
      <c r="A2" s="6">
        <v>101</v>
      </c>
      <c r="B2" s="2">
        <v>46082</v>
      </c>
      <c r="C2" s="1" t="s">
        <v>16</v>
      </c>
      <c r="D2" s="1" t="s">
        <v>17</v>
      </c>
      <c r="E2" s="1" t="s">
        <v>2</v>
      </c>
      <c r="F2" s="1" t="s">
        <v>18</v>
      </c>
      <c r="G2" s="1">
        <v>1</v>
      </c>
      <c r="H2" s="1">
        <v>50000</v>
      </c>
      <c r="I2" s="8">
        <f>G2*H2</f>
        <v>50000</v>
      </c>
    </row>
    <row r="3" spans="1:9">
      <c r="A3" s="6">
        <v>102</v>
      </c>
      <c r="B3" s="2">
        <v>46083</v>
      </c>
      <c r="C3" s="1" t="s">
        <v>19</v>
      </c>
      <c r="D3" s="1" t="s">
        <v>20</v>
      </c>
      <c r="E3" s="1" t="s">
        <v>3</v>
      </c>
      <c r="F3" s="1" t="s">
        <v>18</v>
      </c>
      <c r="G3" s="1">
        <v>2</v>
      </c>
      <c r="H3" s="1">
        <v>20000</v>
      </c>
      <c r="I3" s="8">
        <f>G3*H3</f>
        <v>40000</v>
      </c>
    </row>
    <row r="4" spans="1:9">
      <c r="A4" s="6">
        <v>103</v>
      </c>
      <c r="B4" s="2">
        <v>46084</v>
      </c>
      <c r="C4" s="1" t="s">
        <v>21</v>
      </c>
      <c r="D4" s="1" t="s">
        <v>17</v>
      </c>
      <c r="E4" s="1" t="s">
        <v>5</v>
      </c>
      <c r="F4" s="1" t="s">
        <v>22</v>
      </c>
      <c r="G4" s="1">
        <v>3</v>
      </c>
      <c r="H4" s="1">
        <v>20000</v>
      </c>
      <c r="I4" s="8">
        <f>G4*H4</f>
        <v>60000</v>
      </c>
    </row>
    <row r="5" spans="1:9">
      <c r="A5" s="6">
        <v>104</v>
      </c>
      <c r="B5" s="2">
        <v>46085</v>
      </c>
      <c r="C5" s="1" t="s">
        <v>23</v>
      </c>
      <c r="D5" s="1" t="s">
        <v>24</v>
      </c>
      <c r="E5" s="1" t="s">
        <v>6</v>
      </c>
      <c r="F5" s="1" t="s">
        <v>22</v>
      </c>
      <c r="G5" s="1">
        <v>3</v>
      </c>
      <c r="H5" s="1">
        <v>20000</v>
      </c>
      <c r="I5" s="8">
        <f>G5*H5</f>
        <v>60000</v>
      </c>
    </row>
    <row r="6" spans="1:9">
      <c r="A6" s="6">
        <v>105</v>
      </c>
      <c r="B6" s="2">
        <v>46086</v>
      </c>
      <c r="C6" s="1" t="s">
        <v>25</v>
      </c>
      <c r="D6" s="1" t="s">
        <v>17</v>
      </c>
      <c r="E6" s="1" t="s">
        <v>4</v>
      </c>
      <c r="F6" s="1" t="s">
        <v>18</v>
      </c>
      <c r="G6" s="1">
        <v>1</v>
      </c>
      <c r="H6" s="1">
        <v>30000</v>
      </c>
      <c r="I6" s="8">
        <f>G6*H6</f>
        <v>30000</v>
      </c>
    </row>
    <row r="7" spans="1:9">
      <c r="A7" s="6">
        <v>106</v>
      </c>
      <c r="B7" s="2">
        <v>46087</v>
      </c>
      <c r="C7" s="1" t="s">
        <v>26</v>
      </c>
      <c r="D7" s="1" t="s">
        <v>27</v>
      </c>
      <c r="E7" s="1" t="s">
        <v>5</v>
      </c>
      <c r="F7" s="1" t="s">
        <v>22</v>
      </c>
      <c r="G7" s="1">
        <v>2</v>
      </c>
      <c r="H7" s="1">
        <v>2500</v>
      </c>
      <c r="I7" s="8">
        <f>G7*H7</f>
        <v>5000</v>
      </c>
    </row>
    <row r="8" spans="1:9">
      <c r="A8" s="6">
        <v>107</v>
      </c>
      <c r="B8" s="2">
        <v>46088</v>
      </c>
      <c r="C8" s="1" t="s">
        <v>28</v>
      </c>
      <c r="D8" s="1" t="s">
        <v>17</v>
      </c>
      <c r="E8" s="1" t="s">
        <v>3</v>
      </c>
      <c r="F8" s="1" t="s">
        <v>18</v>
      </c>
      <c r="G8" s="1">
        <v>1</v>
      </c>
      <c r="H8" s="1">
        <v>22000</v>
      </c>
      <c r="I8" s="8">
        <f>G8*H8</f>
        <v>22000</v>
      </c>
    </row>
    <row r="9" spans="1:9">
      <c r="A9" s="6">
        <v>108</v>
      </c>
      <c r="B9" s="2">
        <v>46089</v>
      </c>
      <c r="C9" s="1" t="s">
        <v>29</v>
      </c>
      <c r="D9" s="1" t="s">
        <v>20</v>
      </c>
      <c r="E9" s="1" t="s">
        <v>2</v>
      </c>
      <c r="F9" s="1" t="s">
        <v>18</v>
      </c>
      <c r="G9" s="1">
        <v>1</v>
      </c>
      <c r="H9" s="1">
        <v>55000</v>
      </c>
      <c r="I9" s="8">
        <f>G9*H9</f>
        <v>55000</v>
      </c>
    </row>
    <row r="10" spans="1:9">
      <c r="A10" s="6">
        <v>109</v>
      </c>
      <c r="B10" s="2">
        <v>46090</v>
      </c>
      <c r="C10" s="1" t="s">
        <v>30</v>
      </c>
      <c r="D10" s="1" t="s">
        <v>24</v>
      </c>
      <c r="E10" s="1" t="s">
        <v>6</v>
      </c>
      <c r="F10" s="1" t="s">
        <v>22</v>
      </c>
      <c r="G10" s="1">
        <v>4</v>
      </c>
      <c r="H10" s="1">
        <v>600</v>
      </c>
      <c r="I10" s="8">
        <f>G10*H10</f>
        <v>2400</v>
      </c>
    </row>
    <row r="11" spans="1:9">
      <c r="A11" s="6">
        <v>110</v>
      </c>
      <c r="B11" s="2">
        <v>46091</v>
      </c>
      <c r="C11" s="1" t="s">
        <v>31</v>
      </c>
      <c r="D11" s="1" t="s">
        <v>17</v>
      </c>
      <c r="E11" s="1" t="s">
        <v>5</v>
      </c>
      <c r="F11" s="1" t="s">
        <v>22</v>
      </c>
      <c r="G11" s="1">
        <v>2</v>
      </c>
      <c r="H11" s="1">
        <v>1800</v>
      </c>
      <c r="I11" s="8">
        <f>G11*H11</f>
        <v>3600</v>
      </c>
    </row>
    <row r="12" spans="1:9">
      <c r="A12" s="6">
        <v>111</v>
      </c>
      <c r="B12" s="2">
        <v>46092</v>
      </c>
      <c r="C12" s="1" t="s">
        <v>32</v>
      </c>
      <c r="D12" s="1" t="s">
        <v>20</v>
      </c>
      <c r="E12" s="1" t="s">
        <v>4</v>
      </c>
      <c r="F12" s="1" t="s">
        <v>18</v>
      </c>
      <c r="G12" s="1">
        <v>1</v>
      </c>
      <c r="H12" s="1">
        <v>28000</v>
      </c>
      <c r="I12" s="8">
        <f>G12*H12</f>
        <v>28000</v>
      </c>
    </row>
    <row r="13" spans="1:9">
      <c r="A13" s="6">
        <v>112</v>
      </c>
      <c r="B13" s="2">
        <v>46093</v>
      </c>
      <c r="C13" s="1" t="s">
        <v>33</v>
      </c>
      <c r="D13" s="1" t="s">
        <v>27</v>
      </c>
      <c r="E13" s="1" t="s">
        <v>6</v>
      </c>
      <c r="F13" s="1" t="s">
        <v>22</v>
      </c>
      <c r="G13" s="1">
        <v>3</v>
      </c>
      <c r="H13" s="1">
        <v>700</v>
      </c>
      <c r="I13" s="8">
        <f>G13*H13</f>
        <v>2100</v>
      </c>
    </row>
    <row r="14" spans="1:9">
      <c r="A14" s="6">
        <v>113</v>
      </c>
      <c r="B14" s="2">
        <v>46094</v>
      </c>
      <c r="C14" s="1" t="s">
        <v>34</v>
      </c>
      <c r="D14" s="1" t="s">
        <v>17</v>
      </c>
      <c r="E14" s="1" t="s">
        <v>2</v>
      </c>
      <c r="F14" s="1" t="s">
        <v>18</v>
      </c>
      <c r="G14" s="1">
        <v>1</v>
      </c>
      <c r="H14" s="1">
        <v>52000</v>
      </c>
      <c r="I14" s="8">
        <f>G14*H14</f>
        <v>52000</v>
      </c>
    </row>
    <row r="15" spans="1:9">
      <c r="A15" s="6">
        <v>114</v>
      </c>
      <c r="B15" s="2">
        <v>46095</v>
      </c>
      <c r="C15" s="1" t="s">
        <v>35</v>
      </c>
      <c r="D15" s="1" t="s">
        <v>24</v>
      </c>
      <c r="E15" s="1" t="s">
        <v>5</v>
      </c>
      <c r="F15" s="1" t="s">
        <v>22</v>
      </c>
      <c r="G15" s="1">
        <v>2</v>
      </c>
      <c r="H15" s="1">
        <v>2100</v>
      </c>
      <c r="I15" s="8">
        <f>G15*H15</f>
        <v>4200</v>
      </c>
    </row>
    <row r="16" spans="1:9">
      <c r="A16" s="6">
        <v>115</v>
      </c>
      <c r="B16" s="2">
        <v>46096</v>
      </c>
      <c r="C16" s="1" t="s">
        <v>36</v>
      </c>
      <c r="D16" s="1" t="s">
        <v>20</v>
      </c>
      <c r="E16" s="1" t="s">
        <v>3</v>
      </c>
      <c r="F16" s="1" t="s">
        <v>18</v>
      </c>
      <c r="G16" s="1">
        <v>2</v>
      </c>
      <c r="H16" s="1">
        <v>21000</v>
      </c>
      <c r="I16" s="8">
        <f>G16*H16</f>
        <v>42000</v>
      </c>
    </row>
    <row r="17" spans="1:9">
      <c r="A17" s="6">
        <v>116</v>
      </c>
      <c r="B17" s="2">
        <v>46097</v>
      </c>
      <c r="C17" s="1" t="s">
        <v>37</v>
      </c>
      <c r="D17" s="1" t="s">
        <v>27</v>
      </c>
      <c r="E17" s="1" t="s">
        <v>6</v>
      </c>
      <c r="F17" s="1" t="s">
        <v>22</v>
      </c>
      <c r="G17" s="1">
        <v>5</v>
      </c>
      <c r="H17" s="1">
        <v>650</v>
      </c>
      <c r="I17" s="8">
        <f>G17*H17</f>
        <v>3250</v>
      </c>
    </row>
    <row r="18" spans="1:9">
      <c r="A18" s="6">
        <v>117</v>
      </c>
      <c r="B18" s="2">
        <v>46098</v>
      </c>
      <c r="C18" s="1" t="s">
        <v>38</v>
      </c>
      <c r="D18" s="1" t="s">
        <v>17</v>
      </c>
      <c r="E18" s="1" t="s">
        <v>4</v>
      </c>
      <c r="F18" s="1" t="s">
        <v>18</v>
      </c>
      <c r="G18" s="1">
        <v>1</v>
      </c>
      <c r="H18" s="1">
        <v>31000</v>
      </c>
      <c r="I18" s="8">
        <f>G18*H18</f>
        <v>31000</v>
      </c>
    </row>
    <row r="19" spans="1:9">
      <c r="A19" s="6">
        <v>118</v>
      </c>
      <c r="B19" s="2">
        <v>46099</v>
      </c>
      <c r="C19" s="1" t="s">
        <v>39</v>
      </c>
      <c r="D19" s="1" t="s">
        <v>20</v>
      </c>
      <c r="E19" s="1" t="s">
        <v>5</v>
      </c>
      <c r="F19" s="1" t="s">
        <v>22</v>
      </c>
      <c r="G19" s="1">
        <v>3</v>
      </c>
      <c r="H19" s="1">
        <v>1900</v>
      </c>
      <c r="I19" s="8">
        <f>G19*H19</f>
        <v>5700</v>
      </c>
    </row>
    <row r="20" spans="1:9">
      <c r="A20" s="6">
        <v>119</v>
      </c>
      <c r="B20" s="2">
        <v>46100</v>
      </c>
      <c r="C20" s="1" t="s">
        <v>40</v>
      </c>
      <c r="D20" s="1" t="s">
        <v>24</v>
      </c>
      <c r="E20" s="1" t="s">
        <v>2</v>
      </c>
      <c r="F20" s="1" t="s">
        <v>18</v>
      </c>
      <c r="G20" s="1">
        <v>1</v>
      </c>
      <c r="H20" s="1">
        <v>48000</v>
      </c>
      <c r="I20" s="8">
        <f>G20*H20</f>
        <v>48000</v>
      </c>
    </row>
    <row r="21" spans="1:9">
      <c r="A21" s="6">
        <v>120</v>
      </c>
      <c r="B21" s="2">
        <v>46101</v>
      </c>
      <c r="C21" s="1" t="s">
        <v>41</v>
      </c>
      <c r="D21" s="1" t="s">
        <v>17</v>
      </c>
      <c r="E21" s="1" t="s">
        <v>3</v>
      </c>
      <c r="F21" s="1" t="s">
        <v>18</v>
      </c>
      <c r="G21" s="1">
        <v>2</v>
      </c>
      <c r="H21" s="5">
        <v>23000</v>
      </c>
      <c r="I21" s="9">
        <f>G21*H21</f>
        <v>46000</v>
      </c>
    </row>
    <row r="22" spans="1:9">
      <c r="A22" s="1"/>
      <c r="B22" s="1"/>
      <c r="C22" s="1"/>
      <c r="D22" s="1"/>
      <c r="E22" s="1"/>
      <c r="F22" s="1"/>
      <c r="G22" s="4"/>
      <c r="H22" s="3"/>
      <c r="I22" s="10">
        <f>SUM(I2:I21)</f>
        <v>590250</v>
      </c>
    </row>
    <row r="24" spans="1:9">
      <c r="B24" s="6" t="s">
        <v>42</v>
      </c>
      <c r="C24" s="6">
        <f>COUNT(A2:A21)</f>
        <v>20</v>
      </c>
    </row>
    <row r="25" spans="1:9">
      <c r="B25" s="6" t="s">
        <v>43</v>
      </c>
      <c r="C25" s="11">
        <f>AVERAGE(I2:I21)</f>
        <v>29512.5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C3D3-8F48-4616-B003-0D99DD44C1C5}">
  <dimension ref="A1"/>
  <sheetViews>
    <sheetView showGridLines="0" workbookViewId="0">
      <selection activeCell="O9" sqref="O9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2026-03-23T14:33:15Z</dcterms:created>
  <dcterms:modified xsi:type="dcterms:W3CDTF">2026-03-23T17:06:38Z</dcterms:modified>
  <cp:category/>
  <cp:contentStatus/>
</cp:coreProperties>
</file>